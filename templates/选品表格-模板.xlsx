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1.webp" ContentType="image/webp"/>
  <Override PartName="/xl/media/image2.webp" ContentType="image/webp"/>
  <Override PartName="/xl/media/image3.webp" ContentType="image/webp"/>
  <Override PartName="/xl/media/image4.webp" ContentType="image/webp"/>
  <Override PartName="/xl/media/image5.webp" ContentType="image/webp"/>
  <Override PartName="/xl/media/image6.webp" ContentType="image/webp"/>
  <Override PartName="/xl/media/image7.webp" ContentType="image/webp"/>
  <Override PartName="/xl/media/image8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贺卡" sheetId="1" r:id="rId1"/>
    <sheet name="盒子" sheetId="4" r:id="rId2"/>
    <sheet name="Sheet2" sheetId="2" r:id="rId3"/>
    <sheet name="Sheet3" sheetId="3" r:id="rId4"/>
    <sheet name="WpsReserved_CellImgList" sheetId="5" state="veryHidden" r:id="rId5"/>
  </sheets>
  <definedNames>
    <definedName name="_xlnm._FilterDatabase" localSheetId="0" hidden="1">贺卡!$A$1:$H$1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0164040188A0461BBD8AC91DEEECB9D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719310" y="313182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" name="ID_42350FD0B2224D9AA6990ED32706CB5A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0671810" y="313182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" name="ID_749F1E8DE6AB447A9D45B98D29F4CB00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9719310" y="462153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" name="ID_3A96D184786748EF9100B5FFE7C70DD2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0671810" y="462153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8" name="ID_5B9408CD3F4B4108B7C837E9BA5ADE52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9719310" y="611124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0" name="ID_31E8E2554D5A42FE872FAB7AC42E178B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10671810" y="611124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3" name="ID_8679A8859E524C9CB193945CFE711115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9719310" y="760095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6" name="ID_96AB0A9BD889427CBF468298259C9A70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10671810" y="760095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0" name="ID_F0C47424A624492583BF9E937ED071AB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10405110" y="4499610"/>
          <a:ext cx="11239500" cy="109156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4" name="ID_71BBA4488F6848C2AAB3B508ECD4561A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3429000" y="4499610"/>
          <a:ext cx="14287500" cy="14287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7" name="ID_D818AAD11100433E94AEAA773AC82EE3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11357610" y="4499610"/>
          <a:ext cx="14287500" cy="1410652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<sst xmlns="http://schemas.openxmlformats.org/spreadsheetml/2006/main" count="52" uniqueCount="42">
  <si>
    <t>上架时间</t>
  </si>
  <si>
    <t>参考样品图</t>
  </si>
  <si>
    <t>日销</t>
  </si>
  <si>
    <t>月销</t>
  </si>
  <si>
    <t>售价</t>
  </si>
  <si>
    <t>主题</t>
  </si>
  <si>
    <t>标题</t>
  </si>
  <si>
    <t>竞品内容图片</t>
  </si>
  <si>
    <t>现有SKU</t>
  </si>
  <si>
    <t>进度图</t>
  </si>
  <si>
    <t>是否大货，数量</t>
  </si>
  <si>
    <t>类型</t>
  </si>
  <si>
    <t>销量K+</t>
  </si>
  <si>
    <t>重量g</t>
  </si>
  <si>
    <t>尺寸cm</t>
  </si>
  <si>
    <t>竞品链接</t>
  </si>
  <si>
    <t>优势总结</t>
  </si>
  <si>
    <t>新品要求</t>
  </si>
  <si>
    <t>参考</t>
  </si>
  <si>
    <t>链接</t>
  </si>
  <si>
    <t>包装</t>
  </si>
  <si>
    <t>备注</t>
  </si>
  <si>
    <t>未出图</t>
  </si>
  <si>
    <t>礼品包装盒</t>
  </si>
  <si>
    <t>RM16.4</t>
  </si>
  <si>
    <t>14.5*7.5</t>
  </si>
  <si>
    <t>https://www.temu.com/goods.html?_bg_fs=1&amp;goods_id=601101117283749&amp;sku_id=17598327133074&amp;_oak_page_source=501&amp;_x_sessn_id=xp6wlsp6ur&amp;refer_page_name=shopping_cart&amp;refer_page_id=10037_1762850269943_jxrdwubn0c&amp;refer_page_sn=10037</t>
  </si>
  <si>
    <t>可视飞机盒</t>
  </si>
  <si>
    <t>RM13.79</t>
  </si>
  <si>
    <t>6*6*3</t>
  </si>
  <si>
    <t>https://www.temu.com/goods.html?_bg_fs=1&amp;goods_id=601101241423547&amp;sku_id=17598884072162&amp;_oak_page_source=501&amp;_x_sessn_id=xp6wlsp6ur&amp;refer_page_name=shopping_cart&amp;refer_page_id=10037_1762850269943_jxrdwubn0c&amp;refer_page_sn=10037&amp;is_back=1</t>
  </si>
  <si>
    <t>惊喜礼品盒</t>
  </si>
  <si>
    <t>RM16.43</t>
  </si>
  <si>
    <t>23.2*23.2</t>
  </si>
  <si>
    <t>https://www.temu.com/goods.html?_bg_fs=1&amp;goods_id=601104411253411&amp;sku_id=17614637717479&amp;_oak_page_source=501&amp;_x_sessn_id=xp6wlsp6ur&amp;refer_page_name=shopping_cart&amp;refer_page_id=10037_1762850269943_jxrdwubn0c&amp;refer_page_sn=10037&amp;is_back=1</t>
  </si>
  <si>
    <t>礼品首饰盒</t>
  </si>
  <si>
    <t>RM18.25</t>
  </si>
  <si>
    <t>8*5*2.7</t>
  </si>
  <si>
    <t>https://www.temu.com/goods.html?_bg_fs=1&amp;goods_id=601099825831824&amp;sku_id=17593468174942&amp;_oak_page_source=501&amp;_x_sessn_id=xp6wlsp6ur&amp;refer_page_name=shopping_cart&amp;refer_page_id=10037_1762850269943_jxrdwubn0c&amp;refer_page_sn=10037&amp;is_back=1</t>
  </si>
  <si>
    <t>5.39USD</t>
  </si>
  <si>
    <t>25*16*9</t>
  </si>
  <si>
    <t>https://www.amazon.com/Presents-Collapsible-Christmas-Halloween-Graduation/dp/B09KLX859Y/ref=zg_bs_g_723454011_d_sccl_1/145-7919422-3734624?th=1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</si>
</sst>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</font>
    <font>
      <sz val="12"/>
      <color rgb="FF222222"/>
      <name val="Helvetica"/>
      <charset val="134"/>
    </font>
    <font>
      <u/>
      <sz val="11"/>
      <color rgb="FF0000FF"/>
      <name val="宋体"/>
      <charset val="0"/>
      <scheme val="minor"/>
    </font>
    <font>
      <sz val="12"/>
      <color rgb="FF222222"/>
      <name val="宋体"/>
      <charset val="134"/>
    </font>
    <font>
      <u/>
      <sz val="11"/>
      <color rgb="FF800080"/>
      <name val="宋体"/>
      <charset val="0"/>
      <scheme val="minor"/>
    </font>
    <font>
      <b/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5C6E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27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F9C99"/>
        <bgColor indexed="64"/>
      </patternFill>
    </fill>
    <fill>
      <patternFill patternType="solid">
        <fgColor rgb="FFEF949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0" fillId="10" borderId="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2">
      <alignment vertical="center"/>
    </xf>
    <xf numFmtId="0" fontId="15" fillId="0" borderId="2">
      <alignment vertical="center"/>
    </xf>
    <xf numFmtId="0" fontId="16" fillId="0" borderId="3">
      <alignment vertical="center"/>
    </xf>
    <xf numFmtId="0" fontId="16" fillId="0" borderId="0">
      <alignment vertical="center"/>
    </xf>
    <xf numFmtId="0" fontId="17" fillId="11" borderId="4">
      <alignment vertical="center"/>
    </xf>
    <xf numFmtId="0" fontId="18" fillId="12" borderId="5">
      <alignment vertical="center"/>
    </xf>
    <xf numFmtId="0" fontId="19" fillId="12" borderId="4">
      <alignment vertical="center"/>
    </xf>
    <xf numFmtId="0" fontId="20" fillId="13" borderId="6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7" fillId="34" borderId="0">
      <alignment vertical="center"/>
    </xf>
    <xf numFmtId="0" fontId="27" fillId="35" borderId="0">
      <alignment vertical="center"/>
    </xf>
    <xf numFmtId="0" fontId="26" fillId="36" borderId="0">
      <alignment vertical="center"/>
    </xf>
    <xf numFmtId="0" fontId="26" fillId="37" borderId="0">
      <alignment vertical="center"/>
    </xf>
    <xf numFmtId="0" fontId="27" fillId="38" borderId="0">
      <alignment vertical="center"/>
    </xf>
    <xf numFmtId="0" fontId="27" fillId="39" borderId="0">
      <alignment vertical="center"/>
    </xf>
    <xf numFmtId="0" fontId="26" fillId="40" borderId="0">
      <alignment vertical="center"/>
    </xf>
  </cellStyleXfs>
  <cellXfs count="26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left" vertical="center" wrapText="1"/>
    </xf>
    <xf numFmtId="0" fontId="3" fillId="0" borderId="0" xfId="0" applyFont="1">
      <alignment vertical="center"/>
    </xf>
    <xf numFmtId="0" fontId="4" fillId="0" borderId="0" xfId="6">
      <alignment vertical="center"/>
    </xf>
    <xf numFmtId="0" fontId="5" fillId="0" borderId="0" xfId="0" applyFont="1">
      <alignment vertical="center"/>
    </xf>
    <xf numFmtId="0" fontId="6" fillId="0" borderId="0" xfId="6" applyFont="1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8.webp"/><Relationship Id="rId8" Type="http://schemas.openxmlformats.org/officeDocument/2006/relationships/image" Target="media/image7.webp"/><Relationship Id="rId7" Type="http://schemas.openxmlformats.org/officeDocument/2006/relationships/image" Target="media/image6.webp"/><Relationship Id="rId6" Type="http://schemas.openxmlformats.org/officeDocument/2006/relationships/image" Target="media/image5.webp"/><Relationship Id="rId5" Type="http://schemas.openxmlformats.org/officeDocument/2006/relationships/image" Target="media/image4.webp"/><Relationship Id="rId4" Type="http://schemas.openxmlformats.org/officeDocument/2006/relationships/image" Target="media/image3.webp"/><Relationship Id="rId3" Type="http://schemas.openxmlformats.org/officeDocument/2006/relationships/image" Target="media/image2.webp"/><Relationship Id="rId2" Type="http://schemas.openxmlformats.org/officeDocument/2006/relationships/image" Target="NULL" TargetMode="External"/><Relationship Id="rId12" Type="http://schemas.openxmlformats.org/officeDocument/2006/relationships/image" Target="media/image11.jpeg"/><Relationship Id="rId11" Type="http://schemas.openxmlformats.org/officeDocument/2006/relationships/image" Target="media/image10.jpeg"/><Relationship Id="rId10" Type="http://schemas.openxmlformats.org/officeDocument/2006/relationships/image" Target="media/image9.jpeg"/><Relationship Id="rId1" Type="http://schemas.openxmlformats.org/officeDocument/2006/relationships/image" Target="media/image1.webp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webp"/><Relationship Id="rId8" Type="http://schemas.openxmlformats.org/officeDocument/2006/relationships/image" Target="../media/image7.webp"/><Relationship Id="rId7" Type="http://schemas.openxmlformats.org/officeDocument/2006/relationships/image" Target="../media/image6.webp"/><Relationship Id="rId6" Type="http://schemas.openxmlformats.org/officeDocument/2006/relationships/image" Target="../media/image5.webp"/><Relationship Id="rId5" Type="http://schemas.openxmlformats.org/officeDocument/2006/relationships/image" Target="../media/image4.webp"/><Relationship Id="rId4" Type="http://schemas.openxmlformats.org/officeDocument/2006/relationships/image" Target="../media/image3.webp"/><Relationship Id="rId3" Type="http://schemas.openxmlformats.org/officeDocument/2006/relationships/image" Target="../media/image2.webp"/><Relationship Id="rId2" Type="http://schemas.openxmlformats.org/officeDocument/2006/relationships/image" Target="NULL" TargetMode="External"/><Relationship Id="rId12" Type="http://schemas.openxmlformats.org/officeDocument/2006/relationships/image" Target="../media/image11.jpeg"/><Relationship Id="rId11" Type="http://schemas.openxmlformats.org/officeDocument/2006/relationships/image" Target="../media/image10.jpeg"/><Relationship Id="rId10" Type="http://schemas.openxmlformats.org/officeDocument/2006/relationships/image" Target="../media/image9.jpeg"/><Relationship Id="rId1" Type="http://schemas.openxmlformats.org/officeDocument/2006/relationships/image" Target="../media/image1.webp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pic>
      <xdr:nvPicPr>
        <xdr:cNvPr id="8" name="图片 7"/>
        <xdr:cNvPicPr>
          <a:picLocks noChangeAspect="1"/>
        </xdr:cNvPicPr>
      </xdr:nvPicPr>
      <xdr:blipFill>
        <a:stretch>
          <a:fillRect/>
        </a:stretch>
      </xdr:blipFill>
      <xdr:spPr>
        <a:xfrm>
          <a:off x="4135755" y="17335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304800</xdr:colOff>
      <xdr:row>2</xdr:row>
      <xdr:rowOff>304800</xdr:rowOff>
    </xdr:to>
    <xdr:pic>
      <xdr:nvPicPr>
        <xdr:cNvPr id="10" name="图片 9"/>
        <xdr:cNvPicPr>
          <a:picLocks noChangeAspect="1"/>
        </xdr:cNvPicPr>
      </xdr:nvPicPr>
      <xdr:blipFill>
        <a:stretch>
          <a:fillRect/>
        </a:stretch>
      </xdr:blipFill>
      <xdr:spPr>
        <a:xfrm>
          <a:off x="19304000" y="17335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304800</xdr:colOff>
      <xdr:row>2</xdr:row>
      <xdr:rowOff>304800</xdr:rowOff>
    </xdr:to>
    <xdr:pic>
      <xdr:nvPicPr>
        <xdr:cNvPr id="7" name="图片 6"/>
        <xdr:cNvPicPr>
          <a:picLocks noChangeAspect="1"/>
        </xdr:cNvPicPr>
      </xdr:nvPicPr>
      <xdr:blipFill>
        <a:stretch>
          <a:fillRect/>
        </a:stretch>
      </xdr:blipFill>
      <xdr:spPr>
        <a:xfrm>
          <a:off x="20658455" y="17335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304800</xdr:colOff>
      <xdr:row>2</xdr:row>
      <xdr:rowOff>304800</xdr:rowOff>
    </xdr:to>
    <xdr:pic>
      <xdr:nvPicPr>
        <xdr:cNvPr id="11" name="图片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9304000" y="17335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304800</xdr:colOff>
      <xdr:row>2</xdr:row>
      <xdr:rowOff>304800</xdr:rowOff>
    </xdr:to>
    <xdr:pic>
      <xdr:nvPicPr>
        <xdr:cNvPr id="12" name="图片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9304000" y="17335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304800</xdr:colOff>
      <xdr:row>2</xdr:row>
      <xdr:rowOff>304800</xdr:rowOff>
    </xdr:to>
    <xdr:pic>
      <xdr:nvPicPr>
        <xdr:cNvPr id="14" name="图片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20658455" y="17335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304800</xdr:colOff>
      <xdr:row>2</xdr:row>
      <xdr:rowOff>304800</xdr:rowOff>
    </xdr:to>
    <xdr:pic>
      <xdr:nvPicPr>
        <xdr:cNvPr id="15" name="图片 14" descr="12 件蝴蝶结项链戒指耳环手链包装盒，精美礼品首饰盒，金银多色选择，适合情人节、生日、婚礼、周年纪念、感恩节、返校季、毕业季等日常使用 2"/>
        <xdr:cNvPicPr>
          <a:picLocks noChangeAspect="1"/>
        </xdr:cNvPicPr>
      </xdr:nvPicPr>
      <xdr:blipFill>
        <a:stretch>
          <a:fillRect/>
        </a:stretch>
      </xdr:blipFill>
      <xdr:spPr>
        <a:xfrm>
          <a:off x="20658455" y="17335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pic>
      <xdr:nvPicPr>
        <xdr:cNvPr id="17" name="图片 16"/>
        <xdr:cNvPicPr>
          <a:picLocks noChangeAspect="1"/>
        </xdr:cNvPicPr>
      </xdr:nvPicPr>
      <xdr:blipFill>
        <a:stretch>
          <a:fillRect/>
        </a:stretch>
      </xdr:blipFill>
      <xdr:spPr>
        <a:xfrm>
          <a:off x="4135755" y="17335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pic>
      <xdr:nvPicPr>
        <xdr:cNvPr id="18" name="图片 17"/>
        <xdr:cNvPicPr>
          <a:picLocks noChangeAspect="1"/>
        </xdr:cNvPicPr>
      </xdr:nvPicPr>
      <xdr:blipFill>
        <a:stretch>
          <a:fillRect/>
        </a:stretch>
      </xdr:blipFill>
      <xdr:spPr>
        <a:xfrm>
          <a:off x="4135755" y="17335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304800</xdr:colOff>
      <xdr:row>2</xdr:row>
      <xdr:rowOff>304800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20658455" y="17335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304800</xdr:colOff>
      <xdr:row>2</xdr:row>
      <xdr:rowOff>304800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20658455" y="17335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487680</xdr:colOff>
      <xdr:row>35</xdr:row>
      <xdr:rowOff>152400</xdr:rowOff>
    </xdr:to>
    <xdr:pic>
      <xdr:nvPicPr>
        <xdr:cNvPr id="2" name="ID_0164040188A0461BBD8AC91DEEECB9D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719310" y="3131820"/>
          <a:ext cx="7620000" cy="7620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487680</xdr:colOff>
      <xdr:row>35</xdr:row>
      <xdr:rowOff>152400</xdr:rowOff>
    </xdr:to>
    <xdr:pic>
      <xdr:nvPicPr>
        <xdr:cNvPr id="3" name="ID_42350FD0B2224D9AA6990ED32706CB5A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0671810" y="3131820"/>
          <a:ext cx="7620000" cy="7620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487680</xdr:colOff>
      <xdr:row>35</xdr:row>
      <xdr:rowOff>152400</xdr:rowOff>
    </xdr:to>
    <xdr:pic>
      <xdr:nvPicPr>
        <xdr:cNvPr id="4" name="ID_749F1E8DE6AB447A9D45B98D29F4CB00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9719310" y="4621530"/>
          <a:ext cx="7620000" cy="7620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487680</xdr:colOff>
      <xdr:row>35</xdr:row>
      <xdr:rowOff>152400</xdr:rowOff>
    </xdr:to>
    <xdr:pic>
      <xdr:nvPicPr>
        <xdr:cNvPr id="5" name="ID_3A96D184786748EF9100B5FFE7C70DD2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0671810" y="4621530"/>
          <a:ext cx="7620000" cy="7620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487680</xdr:colOff>
      <xdr:row>35</xdr:row>
      <xdr:rowOff>152400</xdr:rowOff>
    </xdr:to>
    <xdr:pic>
      <xdr:nvPicPr>
        <xdr:cNvPr id="8" name="ID_5B9408CD3F4B4108B7C837E9BA5ADE52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9719310" y="6111240"/>
          <a:ext cx="7620000" cy="7620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487680</xdr:colOff>
      <xdr:row>35</xdr:row>
      <xdr:rowOff>152400</xdr:rowOff>
    </xdr:to>
    <xdr:pic>
      <xdr:nvPicPr>
        <xdr:cNvPr id="10" name="ID_31E8E2554D5A42FE872FAB7AC42E178B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10671810" y="6111240"/>
          <a:ext cx="7620000" cy="7620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487680</xdr:colOff>
      <xdr:row>35</xdr:row>
      <xdr:rowOff>152400</xdr:rowOff>
    </xdr:to>
    <xdr:pic>
      <xdr:nvPicPr>
        <xdr:cNvPr id="13" name="ID_8679A8859E524C9CB193945CFE711115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9719310" y="7600950"/>
          <a:ext cx="7620000" cy="7620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487680</xdr:colOff>
      <xdr:row>35</xdr:row>
      <xdr:rowOff>152400</xdr:rowOff>
    </xdr:to>
    <xdr:pic>
      <xdr:nvPicPr>
        <xdr:cNvPr id="16" name="ID_96AB0A9BD889427CBF468298259C9A70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10671810" y="7600950"/>
          <a:ext cx="7620000" cy="7620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18</xdr:col>
      <xdr:colOff>541020</xdr:colOff>
      <xdr:row>51</xdr:row>
      <xdr:rowOff>34290</xdr:rowOff>
    </xdr:to>
    <xdr:pic>
      <xdr:nvPicPr>
        <xdr:cNvPr id="30" name="ID_F0C47424A624492583BF9E937ED071AB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10405110" y="4499610"/>
          <a:ext cx="11239500" cy="10915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24</xdr:col>
      <xdr:colOff>22860</xdr:colOff>
      <xdr:row>66</xdr:row>
      <xdr:rowOff>205740</xdr:rowOff>
    </xdr:to>
    <xdr:pic>
      <xdr:nvPicPr>
        <xdr:cNvPr id="34" name="ID_71BBA4488F6848C2AAB3B508ECD4561A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3429000" y="4499610"/>
          <a:ext cx="14287500" cy="14287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24</xdr:col>
      <xdr:colOff>22860</xdr:colOff>
      <xdr:row>66</xdr:row>
      <xdr:rowOff>24765</xdr:rowOff>
    </xdr:to>
    <xdr:pic>
      <xdr:nvPicPr>
        <xdr:cNvPr id="37" name="ID_D818AAD11100433E94AEAA773AC82EE3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11357610" y="4499610"/>
          <a:ext cx="14287500" cy="141065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amazon.com/Presents-Collapsible-Christmas-Halloween-Graduation/dp/B09KLX859Y/ref=zg_bs_g_723454011_d_sccl_1/145-7919422-3734624?th=1" TargetMode="External"/><Relationship Id="rId4" Type="http://schemas.openxmlformats.org/officeDocument/2006/relationships/hyperlink" Target="https://www.temu.com/goods.html?_bg_fs=1&amp;goods_id=601099825831824&amp;sku_id=17593468174942&amp;_oak_page_source=501&amp;_x_sessn_id=xp6wlsp6ur&amp;refer_page_name=shopping_cart&amp;refer_page_id=10037_1762850269943_jxrdwubn0c&amp;refer_page_sn=10037&amp;is_back=1" TargetMode="External"/><Relationship Id="rId3" Type="http://schemas.openxmlformats.org/officeDocument/2006/relationships/hyperlink" Target="https://www.temu.com/goods.html?_bg_fs=1&amp;goods_id=601104411253411&amp;sku_id=17614637717479&amp;_oak_page_source=501&amp;_x_sessn_id=xp6wlsp6ur&amp;refer_page_name=shopping_cart&amp;refer_page_id=10037_1762850269943_jxrdwubn0c&amp;refer_page_sn=10037&amp;is_back=1" TargetMode="External"/><Relationship Id="rId2" Type="http://schemas.openxmlformats.org/officeDocument/2006/relationships/hyperlink" Target="https://www.temu.com/goods.html?_bg_fs=1&amp;goods_id=601101241423547&amp;sku_id=17598884072162&amp;_oak_page_source=501&amp;_x_sessn_id=xp6wlsp6ur&amp;refer_page_name=shopping_cart&amp;refer_page_id=10037_1762850269943_jxrdwubn0c&amp;refer_page_sn=10037&amp;is_back=1" TargetMode="External"/><Relationship Id="rId1" Type="http://schemas.openxmlformats.org/officeDocument/2006/relationships/hyperlink" Target="https://www.temu.com/goods.html?_bg_fs=1&amp;goods_id=601101117283749&amp;sku_id=17598327133074&amp;_oak_page_source=501&amp;_x_sessn_id=xp6wlsp6ur&amp;refer_page_name=shopping_cart&amp;refer_page_id=10037_1762850269943_jxrdwubn0c&amp;refer_page_sn=10037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3"/>
  <sheetViews>
    <sheetView tabSelected="1" zoomScale="92" zoomScaleNormal="92" workbookViewId="0">
      <selection activeCell="F4" sqref="F4"/>
    </sheetView>
  </sheetViews>
  <sheetFormatPr defaultColWidth="9" defaultRowHeight="16.8"/>
  <cols>
    <col min="1" max="8" width="20.875" customWidth="1"/>
    <col min="10" max="10" width="101.221153846154" customWidth="1"/>
    <col min="11" max="11" width="15.0865384615385" customWidth="1"/>
    <col min="12" max="12" width="20.5096153846154"/>
    <col min="13" max="13" width="12.5096153846154"/>
  </cols>
  <sheetData>
    <row r="1" s="16" customFormat="1" ht="68.25" customHeight="1" spans="1:26">
      <c r="A1" s="18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7" t="s">
        <v>5</v>
      </c>
      <c r="G1" s="21" t="s">
        <v>6</v>
      </c>
      <c r="H1" s="21" t="s">
        <v>7</v>
      </c>
      <c r="I1" s="22"/>
      <c r="J1" s="22"/>
      <c r="K1" s="22"/>
      <c r="L1" s="22"/>
      <c r="M1" s="22"/>
      <c r="N1" s="22"/>
      <c r="O1" s="23"/>
      <c r="P1" s="24"/>
      <c r="Q1" s="24"/>
      <c r="R1" s="24"/>
      <c r="S1" s="24"/>
      <c r="T1" s="24"/>
      <c r="U1" s="24"/>
      <c r="V1" s="24"/>
      <c r="Z1" s="16">
        <f>SUM(A1:Y1)</f>
        <v>0</v>
      </c>
    </row>
    <row r="2" s="17" customFormat="1" ht="68.25" customHeight="1" spans="1:26">
      <c r="A2" s="25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="17" customFormat="1" ht="68.25" customHeight="1" spans="1:26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="17" customFormat="1" ht="68.25" customHeight="1" spans="1:26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s="17" customFormat="1" ht="68.25" customHeight="1" spans="1:26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s="17" customFormat="1" ht="68.25" customHeight="1" spans="1:26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="17" customFormat="1" ht="68.25" customHeight="1" spans="1:26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="17" customFormat="1" ht="68.25" customHeight="1" spans="1:26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="17" customFormat="1" ht="68.25" customHeight="1" spans="1:26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="17" customFormat="1" ht="68.25" customHeight="1"/>
    <row r="11" s="17" customFormat="1" ht="68.25" customHeight="1"/>
    <row r="12" s="17" customFormat="1" ht="68.25" customHeight="1"/>
    <row r="13" s="17" customFormat="1" ht="68.25" customHeight="1"/>
    <row r="14" s="17" customFormat="1" ht="68.25" customHeight="1"/>
    <row r="15" s="17" customFormat="1" ht="68.25" customHeight="1"/>
    <row r="16" s="17" customFormat="1" ht="68.25" customHeight="1"/>
    <row r="17" s="17" customFormat="1" ht="68.25" customHeight="1"/>
    <row r="18" s="17" customFormat="1" ht="68.25" customHeight="1"/>
    <row r="19" s="17" customFormat="1" ht="68.25" customHeight="1"/>
    <row r="20" s="17" customFormat="1" ht="68.25" customHeight="1"/>
    <row r="21" s="17" customFormat="1" ht="68.25" customHeight="1"/>
    <row r="22" s="17" customFormat="1" ht="68.25" customHeight="1"/>
    <row r="23" s="17" customFormat="1" ht="68.25" customHeight="1"/>
    <row r="24" s="17" customFormat="1" ht="68.25" customHeight="1"/>
    <row r="25" s="17" customFormat="1" ht="68.25" customHeight="1"/>
    <row r="26" s="17" customFormat="1" ht="68.25" customHeight="1"/>
    <row r="27" s="17" customFormat="1" ht="68.25" customHeight="1"/>
    <row r="28" s="17" customFormat="1" ht="68.25" customHeight="1"/>
    <row r="29" s="17" customFormat="1" ht="68.25" customHeight="1"/>
    <row r="30" s="17" customFormat="1" ht="68.25" customHeight="1"/>
    <row r="31" s="17" customFormat="1" ht="68.25" customHeight="1"/>
    <row r="32" s="17" customFormat="1" ht="68.25" customHeight="1"/>
    <row r="33" s="17" customFormat="1" ht="68.25" customHeight="1"/>
    <row r="34" s="17" customFormat="1" ht="68.25" customHeight="1"/>
    <row r="35" s="17" customFormat="1" ht="68.25" customHeight="1"/>
    <row r="36" s="17" customFormat="1" ht="68.25" customHeight="1"/>
    <row r="37" s="17" customFormat="1" ht="68.25" customHeight="1"/>
    <row r="38" s="17" customFormat="1" ht="68.25" customHeight="1"/>
    <row r="39" s="17" customFormat="1" ht="68.25" customHeight="1"/>
    <row r="40" s="17" customFormat="1" ht="68.25" customHeight="1"/>
    <row r="41" s="17" customFormat="1" ht="68.25" customHeight="1"/>
    <row r="42" s="17" customFormat="1" ht="68.25" customHeight="1"/>
    <row r="43" s="17" customFormat="1" ht="68.25" customHeight="1"/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H1" etc:filterBottomFollowUsedRange="0">
    <extLst/>
  </autoFilter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"/>
  <sheetViews>
    <sheetView topLeftCell="A5" workbookViewId="0">
      <selection activeCell="O8" sqref="O8"/>
    </sheetView>
  </sheetViews>
  <sheetFormatPr defaultColWidth="9" defaultRowHeight="16.8" outlineLevelRow="5"/>
  <cols>
    <col min="6" max="6" width="19.5480769230769"/>
    <col min="15" max="16" width="12.5096153846154"/>
  </cols>
  <sheetData>
    <row r="1" s="1" customFormat="1" ht="16" spans="1:29">
      <c r="A1" s="2"/>
      <c r="B1" s="3" t="s">
        <v>8</v>
      </c>
      <c r="C1" s="3" t="s">
        <v>9</v>
      </c>
      <c r="D1" s="3" t="s">
        <v>10</v>
      </c>
      <c r="E1" s="3" t="s">
        <v>11</v>
      </c>
      <c r="F1" s="4" t="s">
        <v>1</v>
      </c>
      <c r="G1" s="5" t="s">
        <v>2</v>
      </c>
      <c r="H1" s="5" t="s">
        <v>3</v>
      </c>
      <c r="I1" s="5" t="s">
        <v>12</v>
      </c>
      <c r="J1" s="5" t="s">
        <v>4</v>
      </c>
      <c r="K1" s="6" t="s">
        <v>13</v>
      </c>
      <c r="L1" s="6" t="s">
        <v>14</v>
      </c>
      <c r="M1" s="7" t="s">
        <v>15</v>
      </c>
      <c r="N1" s="7" t="s">
        <v>5</v>
      </c>
      <c r="O1" s="7" t="s">
        <v>7</v>
      </c>
      <c r="P1" s="7"/>
      <c r="Q1" s="8" t="s">
        <v>16</v>
      </c>
      <c r="R1" s="8" t="s">
        <v>17</v>
      </c>
      <c r="S1" s="9" t="s">
        <v>18</v>
      </c>
      <c r="T1" s="9" t="s">
        <v>19</v>
      </c>
      <c r="U1" s="9" t="s">
        <v>20</v>
      </c>
      <c r="V1" s="10" t="s">
        <v>21</v>
      </c>
      <c r="AC1" s="1">
        <f>SUM(A1:AB1)</f>
        <v>0</v>
      </c>
    </row>
    <row r="2" ht="117.3" spans="1:29">
      <c r="A2" s="11" t="s">
        <v>22</v>
      </c>
      <c r="E2" s="12" t="s">
        <v>23</v>
      </c>
      <c r="F2" t="str">
        <f>_xlfn.DISPIMG("ID_0164040188A0461BBD8AC91DEEECB9DD",1)</f>
        <v>=DISPIMG("ID_0164040188A0461BBD8AC91DEEECB9DD",1)</v>
      </c>
      <c r="G2">
        <v>58</v>
      </c>
      <c r="I2">
        <v>2</v>
      </c>
      <c r="J2" t="s">
        <v>24</v>
      </c>
      <c r="L2" t="s">
        <v>25</v>
      </c>
      <c r="M2" s="13" t="s">
        <v>26</v>
      </c>
      <c r="O2" t="str">
        <f>_xlfn.DISPIMG("ID_0164040188A0461BBD8AC91DEEECB9DD",1)</f>
        <v>=DISPIMG("ID_0164040188A0461BBD8AC91DEEECB9DD",1)</v>
      </c>
      <c r="P2" t="str">
        <f>_xlfn.DISPIMG("ID_42350FD0B2224D9AA6990ED32706CB5A",1)</f>
        <v>=DISPIMG("ID_42350FD0B2224D9AA6990ED32706CB5A",1)</v>
      </c>
    </row>
    <row r="3" ht="117.3" spans="1:29">
      <c r="A3" s="11" t="s">
        <v>22</v>
      </c>
      <c r="E3" s="12" t="s">
        <v>27</v>
      </c>
      <c r="F3" t="str">
        <f>_xlfn.DISPIMG("ID_749F1E8DE6AB447A9D45B98D29F4CB00",1)</f>
        <v>=DISPIMG("ID_749F1E8DE6AB447A9D45B98D29F4CB00",1)</v>
      </c>
      <c r="G3">
        <v>100</v>
      </c>
      <c r="I3">
        <v>5.6</v>
      </c>
      <c r="J3" t="s">
        <v>28</v>
      </c>
      <c r="L3" t="s">
        <v>29</v>
      </c>
      <c r="M3" s="13" t="s">
        <v>30</v>
      </c>
      <c r="O3" t="str">
        <f>_xlfn.DISPIMG("ID_749F1E8DE6AB447A9D45B98D29F4CB00",1)</f>
        <v>=DISPIMG("ID_749F1E8DE6AB447A9D45B98D29F4CB00",1)</v>
      </c>
      <c r="P3" t="str">
        <f>_xlfn.DISPIMG("ID_3A96D184786748EF9100B5FFE7C70DD2",1)</f>
        <v>=DISPIMG("ID_3A96D184786748EF9100B5FFE7C70DD2",1)</v>
      </c>
    </row>
    <row r="4" ht="117.3" spans="1:29">
      <c r="A4" s="11" t="s">
        <v>22</v>
      </c>
      <c r="E4" s="14" t="s">
        <v>31</v>
      </c>
      <c r="F4" t="str">
        <f>_xlfn.DISPIMG("ID_5B9408CD3F4B4108B7C837E9BA5ADE52",1)</f>
        <v>=DISPIMG("ID_5B9408CD3F4B4108B7C837E9BA5ADE52",1)</v>
      </c>
      <c r="G4">
        <v>221</v>
      </c>
      <c r="I4">
        <v>1.2</v>
      </c>
      <c r="J4" t="s">
        <v>32</v>
      </c>
      <c r="L4" t="s">
        <v>33</v>
      </c>
      <c r="M4" s="15" t="s">
        <v>34</v>
      </c>
      <c r="O4" t="str">
        <f>_xlfn.DISPIMG("ID_5B9408CD3F4B4108B7C837E9BA5ADE52",1)</f>
        <v>=DISPIMG("ID_5B9408CD3F4B4108B7C837E9BA5ADE52",1)</v>
      </c>
      <c r="P4" t="str">
        <f>_xlfn.DISPIMG("ID_31E8E2554D5A42FE872FAB7AC42E178B",1)</f>
        <v>=DISPIMG("ID_31E8E2554D5A42FE872FAB7AC42E178B",1)</v>
      </c>
    </row>
    <row r="5" ht="117.3" spans="1:29">
      <c r="A5" s="11" t="s">
        <v>22</v>
      </c>
      <c r="E5" s="12" t="s">
        <v>35</v>
      </c>
      <c r="F5" t="str">
        <f>_xlfn.DISPIMG("ID_8679A8859E524C9CB193945CFE711115",1)</f>
        <v>=DISPIMG("ID_8679A8859E524C9CB193945CFE711115",1)</v>
      </c>
      <c r="G5">
        <v>61</v>
      </c>
      <c r="I5">
        <v>7</v>
      </c>
      <c r="J5" t="s">
        <v>36</v>
      </c>
      <c r="L5" t="s">
        <v>37</v>
      </c>
      <c r="M5" s="13" t="s">
        <v>38</v>
      </c>
      <c r="O5" t="str">
        <f>_xlfn.DISPIMG("ID_8679A8859E524C9CB193945CFE711115",1)</f>
        <v>=DISPIMG("ID_8679A8859E524C9CB193945CFE711115",1)</v>
      </c>
      <c r="P5" t="str">
        <f>_xlfn.DISPIMG("ID_96AB0A9BD889427CBF468298259C9A70",1)</f>
        <v>=DISPIMG("ID_96AB0A9BD889427CBF468298259C9A70",1)</v>
      </c>
    </row>
    <row r="6" ht="117.3" spans="1:29">
      <c r="A6" s="11" t="s">
        <v>22</v>
      </c>
      <c r="F6" t="str">
        <f>_xlfn.DISPIMG("ID_71BBA4488F6848C2AAB3B508ECD4561A",1)</f>
        <v>=DISPIMG("ID_71BBA4488F6848C2AAB3B508ECD4561A",1)</v>
      </c>
      <c r="G6">
        <v>569</v>
      </c>
      <c r="H6">
        <v>14225</v>
      </c>
      <c r="J6" t="s">
        <v>39</v>
      </c>
      <c r="L6" t="s">
        <v>40</v>
      </c>
      <c r="M6" s="13" t="s">
        <v>41</v>
      </c>
      <c r="O6" t="str">
        <f>_xlfn.DISPIMG("ID_F0C47424A624492583BF9E937ED071AB",1)</f>
        <v>=DISPIMG("ID_F0C47424A624492583BF9E937ED071AB",1)</v>
      </c>
      <c r="P6" t="str">
        <f>_xlfn.DISPIMG("ID_D818AAD11100433E94AEAA773AC82EE3",1)</f>
        <v>=DISPIMG("ID_D818AAD11100433E94AEAA773AC82EE3",1)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O1:P1"/>
  </mergeCells>
  <hyperlinks>
    <hyperlink ref="M2" r:id="rId1" display="https://www.temu.com/goods.html?_bg_fs=1&amp;goods_id=601101117283749&amp;sku_id=17598327133074&amp;_oak_page_source=501&amp;_x_sessn_id=xp6wlsp6ur&amp;refer_page_name=shopping_cart&amp;refer_page_id=10037_1762850269943_jxrdwubn0c&amp;refer_page_sn=10037"/>
    <hyperlink ref="M3" r:id="rId2" display="https://www.temu.com/goods.html?_bg_fs=1&amp;goods_id=601101241423547&amp;sku_id=17598884072162&amp;_oak_page_source=501&amp;_x_sessn_id=xp6wlsp6ur&amp;refer_page_name=shopping_cart&amp;refer_page_id=10037_1762850269943_jxrdwubn0c&amp;refer_page_sn=10037&amp;is_back=1"/>
    <hyperlink ref="M4" r:id="rId3" display="https://www.temu.com/goods.html?_bg_fs=1&amp;goods_id=601104411253411&amp;sku_id=17614637717479&amp;_oak_page_source=501&amp;_x_sessn_id=xp6wlsp6ur&amp;refer_page_name=shopping_cart&amp;refer_page_id=10037_1762850269943_jxrdwubn0c&amp;refer_page_sn=10037&amp;is_back=1"/>
    <hyperlink ref="M5" r:id="rId4" display="https://www.temu.com/goods.html?_bg_fs=1&amp;goods_id=601099825831824&amp;sku_id=17593468174942&amp;_oak_page_source=501&amp;_x_sessn_id=xp6wlsp6ur&amp;refer_page_name=shopping_cart&amp;refer_page_id=10037_1762850269943_jxrdwubn0c&amp;refer_page_sn=10037&amp;is_back=1"/>
    <hyperlink ref="M6" r:id="rId5" display="https://www.amazon.com/Presents-Collapsible-Christmas-Halloween-Graduation/dp/B09KLX859Y/ref=zg_bs_g_723454011_d_sccl_1/145-7919422-3734624?th=1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贺卡</vt:lpstr>
      <vt:lpstr>盒子</vt:lpstr>
      <vt:lpstr>Sheet2</vt:lpstr>
      <vt:lpstr>Sheet3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人人</cp:lastModifiedBy>
  <dcterms:created xsi:type="dcterms:W3CDTF">2023-05-13T19:15:00Z</dcterms:created>
  <dcterms:modified xsi:type="dcterms:W3CDTF">2026-05-27T09:54:15Z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ICV">
    <vt:lpwstr>528222C427AF41D4A56A91F43E273A7B_13</vt:lpwstr>
  </property>
  <property fmtid="{D5CDD505-2E9C-101B-9397-08002B2CF9AE}" pid="4" name="CalculationRule">
    <vt:i4>0</vt:i4>
  </property>
</Properties>
</file>